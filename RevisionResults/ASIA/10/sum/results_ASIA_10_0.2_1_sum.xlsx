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MOEAD_Bayesian\pythonProject\Results\ASIA\10\sum\"/>
    </mc:Choice>
  </mc:AlternateContent>
  <xr:revisionPtr revIDLastSave="0" documentId="8_{26E3B580-FDA7-4A35-BF7C-B7A4D617BAA2}" xr6:coauthVersionLast="47" xr6:coauthVersionMax="47" xr10:uidLastSave="{00000000-0000-0000-0000-000000000000}"/>
  <bookViews>
    <workbookView xWindow="-103" yWindow="-103" windowWidth="22149" windowHeight="13200" activeTab="1" xr2:uid="{6330BBEA-B60A-430F-8B8D-CE5FDBCB3F3C}"/>
  </bookViews>
  <sheets>
    <sheet name="results_ASIA_10_0.2_1_0" sheetId="1" r:id="rId1"/>
    <sheet name="Sheet1" sheetId="2" r:id="rId2"/>
  </sheets>
  <definedNames>
    <definedName name="ExternalData_1" localSheetId="1" hidden="1">Sheet1!$A$1:$W$31</definedName>
  </definedNames>
  <calcPr calcId="0"/>
</workbook>
</file>

<file path=xl/calcChain.xml><?xml version="1.0" encoding="utf-8"?>
<calcChain xmlns="http://schemas.openxmlformats.org/spreadsheetml/2006/main">
  <c r="W32" i="2" l="1"/>
  <c r="V32" i="2"/>
  <c r="U32" i="2"/>
  <c r="P32" i="2"/>
  <c r="O32" i="2"/>
  <c r="N32" i="2"/>
  <c r="N104857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0AD9D7-1D85-4275-A8A0-2AAA9B5A031E}" keepAlive="1" name="查询 - sum" description="与工作簿中“sum”查询的连接。" type="5" refreshedVersion="8" background="1" saveData="1">
    <dbPr connection="Provider=Microsoft.Mashup.OleDb.1;Data Source=$Workbook$;Location=sum;Extended Properties=&quot;&quot;" command="SELECT * FROM [sum]"/>
  </connection>
  <connection id="2" xr16:uid="{F70F465A-DC45-42A0-B87D-753704657F3B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3" xr16:uid="{919A378D-59D8-44CB-94C3-AD9A49A77369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4" xr16:uid="{ECC28845-D788-488B-B4F8-94E895010E12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5" xr16:uid="{EB8E6D75-BD35-417B-A89D-1C0F5A6FA7AC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<sst xmlns="http://schemas.openxmlformats.org/spreadsheetml/2006/main" count="140" uniqueCount="37">
  <si>
    <t>Network</t>
  </si>
  <si>
    <t>Method</t>
  </si>
  <si>
    <t>NumOfData</t>
  </si>
  <si>
    <t>CorRate</t>
  </si>
  <si>
    <t>WroRate</t>
  </si>
  <si>
    <t>Repeat</t>
  </si>
  <si>
    <t>SHD</t>
  </si>
  <si>
    <t>Adj_Tp</t>
  </si>
  <si>
    <t>Adj_Fp</t>
  </si>
  <si>
    <t>Adj_Tn</t>
  </si>
  <si>
    <t>Adj_Fn</t>
  </si>
  <si>
    <t>Prec</t>
  </si>
  <si>
    <t>Rec</t>
  </si>
  <si>
    <t>F1</t>
  </si>
  <si>
    <t>Con_Tp</t>
  </si>
  <si>
    <t>Con_Fp</t>
  </si>
  <si>
    <t>Con_Tn</t>
  </si>
  <si>
    <t>Con_Fn</t>
  </si>
  <si>
    <t>Con_Prec</t>
  </si>
  <si>
    <t>Con_Rec</t>
  </si>
  <si>
    <t>Con_F1</t>
  </si>
  <si>
    <t>ASIA</t>
  </si>
  <si>
    <t>MOEAD_CD</t>
  </si>
  <si>
    <t>pc</t>
  </si>
  <si>
    <t>pc_con</t>
  </si>
  <si>
    <t>Source.Name</t>
  </si>
  <si>
    <t>Column1</t>
  </si>
  <si>
    <t>results_ASIA_10_0.2_1_0.csv</t>
  </si>
  <si>
    <t>results_ASIA_10_0.2_1_1.csv</t>
  </si>
  <si>
    <t>results_ASIA_10_0.2_1_2.csv</t>
  </si>
  <si>
    <t>results_ASIA_10_0.2_1_3.csv</t>
  </si>
  <si>
    <t>results_ASIA_10_0.2_1_4.csv</t>
  </si>
  <si>
    <t>results_ASIA_10_0.2_1_5.csv</t>
  </si>
  <si>
    <t>results_ASIA_10_0.2_1_6.csv</t>
  </si>
  <si>
    <t>results_ASIA_10_0.2_1_7.csv</t>
  </si>
  <si>
    <t>results_ASIA_10_0.2_1_8.csv</t>
  </si>
  <si>
    <t>results_ASIA_10_0.2_1_9.csv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</si>
</sst>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40C89D-C898-43FF-9F81-A2E0C19C2286}" autoFormatId="16" applyNumberFormats="0" applyBorderFormats="0" applyFontFormats="0" applyPatternFormats="0" applyAlignmentFormats="0" applyWidthHeightFormats="0">
  <queryTableRefresh nextId="24">
    <queryTableFields count="23">
      <queryTableField id="1" name="Source.Name" tableColumnId="24"/>
      <queryTableField id="2" name="Column1" tableColumnId="2"/>
      <queryTableField id="3" name="Network" tableColumnId="3"/>
      <queryTableField id="4" name="Method" tableColumnId="4"/>
      <queryTableField id="5" name="NumOfData" tableColumnId="5"/>
      <queryTableField id="6" name="CorRate" tableColumnId="6"/>
      <queryTableField id="7" name="WroRate" tableColumnId="7"/>
      <queryTableField id="8" name="Repeat" tableColumnId="8"/>
      <queryTableField id="9" name="SHD" tableColumnId="9"/>
      <queryTableField id="10" name="Adj_Tp" tableColumnId="10"/>
      <queryTableField id="11" name="Adj_Fp" tableColumnId="11"/>
      <queryTableField id="12" name="Adj_Tn" tableColumnId="12"/>
      <queryTableField id="13" name="Adj_Fn" tableColumnId="13"/>
      <queryTableField id="14" name="Prec" tableColumnId="14"/>
      <queryTableField id="15" name="Rec" tableColumnId="15"/>
      <queryTableField id="16" name="F1" tableColumnId="16"/>
      <queryTableField id="17" name="Con_Tp" tableColumnId="17"/>
      <queryTableField id="18" name="Con_Fp" tableColumnId="18"/>
      <queryTableField id="19" name="Con_Tn" tableColumnId="19"/>
      <queryTableField id="20" name="Con_Fn" tableColumnId="20"/>
      <queryTableField id="21" name="Con_Prec" tableColumnId="21"/>
      <queryTableField id="22" name="Con_Rec" tableColumnId="22"/>
      <queryTableField id="23" name="Con_F1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0A6D08-7069-4939-B8C2-6ED906A7F02A}" name="sum" displayName="sum" ref="A1:W32" tableType="queryTable" totalsRowCount="1">
  <autoFilter ref="A1:W31" xr:uid="{8A0A6D08-7069-4939-B8C2-6ED906A7F02A}">
    <filterColumn colId="3">
      <filters>
        <filter val="pc_con"/>
      </filters>
    </filterColumn>
  </autoFilter>
  <tableColumns count="23">
    <tableColumn id="24" xr3:uid="{132D8083-DA61-4E8A-8901-3F8DD4B0D4A0}" uniqueName="24" name="Source.Name" queryTableFieldId="1" dataDxfId="5" totalsRowDxfId="2"/>
    <tableColumn id="2" xr3:uid="{329D2665-3CED-43C4-8817-E20DDAB53FD5}" uniqueName="2" name="Column1" queryTableFieldId="2"/>
    <tableColumn id="3" xr3:uid="{E1FC6CA3-420E-45AD-97A0-6B01D09BA73C}" uniqueName="3" name="Network" queryTableFieldId="3" dataDxfId="4" totalsRowDxfId="1"/>
    <tableColumn id="4" xr3:uid="{5753AD0D-2C33-4C33-BFFB-1894B054682A}" uniqueName="4" name="Method" queryTableFieldId="4" dataDxfId="3" totalsRowDxfId="0"/>
    <tableColumn id="5" xr3:uid="{D20AE383-A280-4EDD-A579-5E91CD8763FA}" uniqueName="5" name="NumOfData" queryTableFieldId="5"/>
    <tableColumn id="6" xr3:uid="{DDB420BC-9035-4663-A0D0-1309E103A6AA}" uniqueName="6" name="CorRate" queryTableFieldId="6"/>
    <tableColumn id="7" xr3:uid="{A6701DB5-E857-4BA4-B018-D67D57B4304F}" uniqueName="7" name="WroRate" queryTableFieldId="7"/>
    <tableColumn id="8" xr3:uid="{0867A158-9C67-4330-9026-A5AE9ACD857A}" uniqueName="8" name="Repeat" queryTableFieldId="8"/>
    <tableColumn id="9" xr3:uid="{82DC1EB6-3B54-4DB8-9BE0-B1CEA9E30BA9}" uniqueName="9" name="SHD" queryTableFieldId="9"/>
    <tableColumn id="10" xr3:uid="{70E83E76-4024-49C1-AE3C-F86040938636}" uniqueName="10" name="Adj_Tp" queryTableFieldId="10"/>
    <tableColumn id="11" xr3:uid="{DCA445F9-D2FD-4752-9242-40490D7E84DA}" uniqueName="11" name="Adj_Fp" queryTableFieldId="11"/>
    <tableColumn id="12" xr3:uid="{6597F35A-98DD-481E-8CA4-2AD774B4E097}" uniqueName="12" name="Adj_Tn" queryTableFieldId="12"/>
    <tableColumn id="13" xr3:uid="{27F8217C-8747-42FF-9395-AC722E333FA0}" uniqueName="13" name="Adj_Fn" queryTableFieldId="13"/>
    <tableColumn id="14" xr3:uid="{594D7AE3-F923-4FE7-9B46-2DCEB23AEEE3}" uniqueName="14" name="Prec" totalsRowFunction="average" queryTableFieldId="14"/>
    <tableColumn id="15" xr3:uid="{3340E665-86D6-4C17-BEFC-DE2AC88B7FD4}" uniqueName="15" name="Rec" totalsRowFunction="average" queryTableFieldId="15"/>
    <tableColumn id="16" xr3:uid="{CA1C3669-F459-46D9-8AE1-DC5B669DA1AB}" uniqueName="16" name="F1" totalsRowFunction="average" queryTableFieldId="16"/>
    <tableColumn id="17" xr3:uid="{E8F0F7FD-258D-4DC5-8F0D-BF0151DDC98E}" uniqueName="17" name="Con_Tp" queryTableFieldId="17"/>
    <tableColumn id="18" xr3:uid="{E758E957-4B6F-40F6-8A72-850DEE0DC841}" uniqueName="18" name="Con_Fp" queryTableFieldId="18"/>
    <tableColumn id="19" xr3:uid="{ED84FA96-72BA-43EE-99C7-373B38935B96}" uniqueName="19" name="Con_Tn" queryTableFieldId="19"/>
    <tableColumn id="20" xr3:uid="{B1B2A3AB-0C50-4F51-8171-A68EA07F56D9}" uniqueName="20" name="Con_Fn" queryTableFieldId="20"/>
    <tableColumn id="21" xr3:uid="{3D566476-926C-4100-A1B2-78F0CBAC33E6}" uniqueName="21" name="Con_Prec" totalsRowFunction="average" queryTableFieldId="21"/>
    <tableColumn id="22" xr3:uid="{419BAF17-4FF6-4EE6-9531-460CAC91BADD}" uniqueName="22" name="Con_Rec" totalsRowFunction="average" queryTableFieldId="22"/>
    <tableColumn id="23" xr3:uid="{9D780C0A-4B20-4103-8126-E4712DA874FE}" uniqueName="23" name="Con_F1" totalsRowFunction="average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0C72-4B85-4A0A-A5D3-0B8CB4AAB07A}">
  <dimension ref="A1:V4"/>
  <sheetViews>
    <sheetView workbookViewId="0"/>
  </sheetViews>
  <sheetFormatPr defaultRowHeight="14.15" x14ac:dyDescent="0.35"/>
  <sheetData>
    <row r="1" spans="1:22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5">
      <c r="A2">
        <v>0</v>
      </c>
      <c r="B2" t="s">
        <v>21</v>
      </c>
      <c r="C2" t="s">
        <v>22</v>
      </c>
      <c r="D2">
        <v>10</v>
      </c>
      <c r="E2">
        <v>0.2</v>
      </c>
      <c r="F2">
        <v>1</v>
      </c>
      <c r="G2">
        <v>0</v>
      </c>
      <c r="H2">
        <v>6</v>
      </c>
      <c r="I2">
        <v>2</v>
      </c>
      <c r="J2">
        <v>0</v>
      </c>
      <c r="K2">
        <v>48</v>
      </c>
      <c r="L2">
        <v>6</v>
      </c>
      <c r="M2">
        <v>1</v>
      </c>
      <c r="N2">
        <v>0.25</v>
      </c>
      <c r="O2">
        <v>0.4</v>
      </c>
      <c r="P2">
        <v>2</v>
      </c>
      <c r="Q2">
        <v>0</v>
      </c>
      <c r="R2">
        <v>2</v>
      </c>
      <c r="S2">
        <v>0</v>
      </c>
      <c r="T2">
        <v>1</v>
      </c>
      <c r="U2">
        <v>1</v>
      </c>
      <c r="V2">
        <v>1</v>
      </c>
    </row>
    <row r="3" spans="1:22" x14ac:dyDescent="0.35">
      <c r="A3">
        <v>1</v>
      </c>
      <c r="B3" t="s">
        <v>21</v>
      </c>
      <c r="C3" t="s">
        <v>23</v>
      </c>
      <c r="D3">
        <v>10</v>
      </c>
      <c r="E3">
        <v>0.2</v>
      </c>
      <c r="F3">
        <v>1</v>
      </c>
      <c r="G3">
        <v>0</v>
      </c>
      <c r="H3">
        <v>8</v>
      </c>
      <c r="I3">
        <v>0</v>
      </c>
      <c r="J3">
        <v>0</v>
      </c>
      <c r="K3">
        <v>48</v>
      </c>
      <c r="L3">
        <v>8</v>
      </c>
      <c r="M3">
        <v>0</v>
      </c>
      <c r="N3">
        <v>0</v>
      </c>
      <c r="O3">
        <v>0</v>
      </c>
      <c r="P3">
        <v>0</v>
      </c>
      <c r="Q3">
        <v>0</v>
      </c>
      <c r="R3">
        <v>2</v>
      </c>
      <c r="S3">
        <v>2</v>
      </c>
      <c r="T3">
        <v>0</v>
      </c>
      <c r="U3">
        <v>0</v>
      </c>
      <c r="V3">
        <v>0</v>
      </c>
    </row>
    <row r="4" spans="1:22" x14ac:dyDescent="0.35">
      <c r="A4">
        <v>2</v>
      </c>
      <c r="B4" t="s">
        <v>21</v>
      </c>
      <c r="C4" t="s">
        <v>24</v>
      </c>
      <c r="D4">
        <v>10</v>
      </c>
      <c r="E4">
        <v>0.2</v>
      </c>
      <c r="F4">
        <v>1</v>
      </c>
      <c r="G4">
        <v>0</v>
      </c>
      <c r="H4">
        <v>8</v>
      </c>
      <c r="I4">
        <v>0</v>
      </c>
      <c r="J4">
        <v>0</v>
      </c>
      <c r="K4">
        <v>48</v>
      </c>
      <c r="L4">
        <v>8</v>
      </c>
      <c r="M4">
        <v>0</v>
      </c>
      <c r="N4">
        <v>0</v>
      </c>
      <c r="O4">
        <v>0</v>
      </c>
      <c r="P4">
        <v>0</v>
      </c>
      <c r="Q4">
        <v>0</v>
      </c>
      <c r="R4">
        <v>2</v>
      </c>
      <c r="S4">
        <v>2</v>
      </c>
      <c r="T4">
        <v>0</v>
      </c>
      <c r="U4">
        <v>0</v>
      </c>
      <c r="V4">
        <v>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5CB1-3E17-47B2-AF56-5EBAFA7C0138}">
  <dimension ref="A1:W1048576"/>
  <sheetViews>
    <sheetView tabSelected="1" topLeftCell="F1" workbookViewId="0">
      <selection activeCell="U32" sqref="U32:W32"/>
    </sheetView>
  </sheetViews>
  <sheetFormatPr defaultRowHeight="14.15" x14ac:dyDescent="0.35"/>
  <cols>
    <col min="1" max="1" width="24.2109375" bestFit="1" customWidth="1"/>
    <col min="2" max="2" width="10.78515625" bestFit="1" customWidth="1"/>
    <col min="3" max="3" width="10.5703125" bestFit="1" customWidth="1"/>
    <col min="4" max="4" width="10.92578125" bestFit="1" customWidth="1"/>
    <col min="5" max="5" width="13.5" bestFit="1" customWidth="1"/>
    <col min="6" max="6" width="10" bestFit="1" customWidth="1"/>
    <col min="7" max="7" width="10.640625" bestFit="1" customWidth="1"/>
    <col min="9" max="9" width="6.92578125" bestFit="1" customWidth="1"/>
    <col min="10" max="10" width="9" bestFit="1" customWidth="1"/>
    <col min="11" max="12" width="8.92578125" bestFit="1" customWidth="1"/>
    <col min="13" max="13" width="8.85546875" bestFit="1" customWidth="1"/>
    <col min="14" max="14" width="6.85546875" bestFit="1" customWidth="1"/>
    <col min="15" max="15" width="6.2109375" bestFit="1" customWidth="1"/>
    <col min="16" max="16" width="12.28515625" bestFit="1" customWidth="1"/>
    <col min="17" max="17" width="9.5" bestFit="1" customWidth="1"/>
    <col min="18" max="19" width="9.42578125" bestFit="1" customWidth="1"/>
    <col min="20" max="20" width="9.35546875" bestFit="1" customWidth="1"/>
    <col min="21" max="21" width="11" bestFit="1" customWidth="1"/>
    <col min="22" max="22" width="10.35546875" bestFit="1" customWidth="1"/>
    <col min="23" max="23" width="12.28515625" bestFit="1" customWidth="1"/>
  </cols>
  <sheetData>
    <row r="1" spans="1:23" x14ac:dyDescent="0.35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hidden="1" x14ac:dyDescent="0.35">
      <c r="A2" s="1" t="s">
        <v>27</v>
      </c>
      <c r="B2" s="1">
        <v>0</v>
      </c>
      <c r="C2" s="1" t="s">
        <v>21</v>
      </c>
      <c r="D2" s="1" t="s">
        <v>22</v>
      </c>
      <c r="E2" s="1">
        <v>10</v>
      </c>
      <c r="F2" s="1">
        <v>0.2</v>
      </c>
      <c r="G2" s="1">
        <v>1</v>
      </c>
      <c r="H2" s="1">
        <v>0</v>
      </c>
      <c r="I2" s="1">
        <v>6</v>
      </c>
      <c r="J2" s="1">
        <v>2</v>
      </c>
      <c r="K2" s="1">
        <v>0</v>
      </c>
      <c r="L2" s="1">
        <v>48</v>
      </c>
      <c r="M2" s="1">
        <v>6</v>
      </c>
      <c r="N2" s="1">
        <v>1</v>
      </c>
      <c r="O2" s="1">
        <v>0.25</v>
      </c>
      <c r="P2" s="1">
        <v>0.4</v>
      </c>
      <c r="Q2" s="1">
        <v>2</v>
      </c>
      <c r="R2" s="1">
        <v>0</v>
      </c>
      <c r="S2" s="1">
        <v>2</v>
      </c>
      <c r="T2" s="1">
        <v>0</v>
      </c>
      <c r="U2" s="1">
        <v>1</v>
      </c>
      <c r="V2" s="1">
        <v>1</v>
      </c>
      <c r="W2" s="1">
        <v>1</v>
      </c>
    </row>
    <row r="3" spans="1:23" hidden="1" x14ac:dyDescent="0.35">
      <c r="A3" s="1" t="s">
        <v>27</v>
      </c>
      <c r="B3" s="1">
        <v>1</v>
      </c>
      <c r="C3" s="1" t="s">
        <v>21</v>
      </c>
      <c r="D3" s="1" t="s">
        <v>23</v>
      </c>
      <c r="E3" s="1">
        <v>10</v>
      </c>
      <c r="F3" s="1">
        <v>0.2</v>
      </c>
      <c r="G3" s="1">
        <v>1</v>
      </c>
      <c r="H3" s="1">
        <v>0</v>
      </c>
      <c r="I3" s="1">
        <v>8</v>
      </c>
      <c r="J3" s="1">
        <v>0</v>
      </c>
      <c r="K3" s="1">
        <v>0</v>
      </c>
      <c r="L3" s="1">
        <v>48</v>
      </c>
      <c r="M3" s="1">
        <v>8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2</v>
      </c>
      <c r="T3" s="1">
        <v>2</v>
      </c>
      <c r="U3" s="1">
        <v>0</v>
      </c>
      <c r="V3" s="1">
        <v>0</v>
      </c>
      <c r="W3" s="1">
        <v>0</v>
      </c>
    </row>
    <row r="4" spans="1:23" x14ac:dyDescent="0.35">
      <c r="A4" s="1" t="s">
        <v>27</v>
      </c>
      <c r="B4" s="1">
        <v>2</v>
      </c>
      <c r="C4" s="1" t="s">
        <v>21</v>
      </c>
      <c r="D4" s="1" t="s">
        <v>24</v>
      </c>
      <c r="E4" s="1">
        <v>10</v>
      </c>
      <c r="F4" s="1">
        <v>0.2</v>
      </c>
      <c r="G4" s="1">
        <v>1</v>
      </c>
      <c r="H4" s="1">
        <v>0</v>
      </c>
      <c r="I4" s="1">
        <v>8</v>
      </c>
      <c r="J4" s="1">
        <v>0</v>
      </c>
      <c r="K4" s="1">
        <v>0</v>
      </c>
      <c r="L4" s="1">
        <v>48</v>
      </c>
      <c r="M4" s="1">
        <v>8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2</v>
      </c>
      <c r="T4" s="1">
        <v>2</v>
      </c>
      <c r="U4" s="1">
        <v>0</v>
      </c>
      <c r="V4" s="1">
        <v>0</v>
      </c>
      <c r="W4" s="1">
        <v>0</v>
      </c>
    </row>
    <row r="5" spans="1:23" hidden="1" x14ac:dyDescent="0.35">
      <c r="A5" s="1" t="s">
        <v>28</v>
      </c>
      <c r="B5" s="1">
        <v>0</v>
      </c>
      <c r="C5" s="1" t="s">
        <v>21</v>
      </c>
      <c r="D5" s="1" t="s">
        <v>22</v>
      </c>
      <c r="E5" s="1">
        <v>10</v>
      </c>
      <c r="F5" s="1">
        <v>0.2</v>
      </c>
      <c r="G5" s="1">
        <v>1</v>
      </c>
      <c r="H5" s="1">
        <v>1</v>
      </c>
      <c r="I5" s="1">
        <v>6</v>
      </c>
      <c r="J5" s="1">
        <v>2</v>
      </c>
      <c r="K5" s="1">
        <v>0</v>
      </c>
      <c r="L5" s="1">
        <v>48</v>
      </c>
      <c r="M5" s="1">
        <v>6</v>
      </c>
      <c r="N5" s="1">
        <v>1</v>
      </c>
      <c r="O5" s="1">
        <v>0.25</v>
      </c>
      <c r="P5" s="1">
        <v>0.4</v>
      </c>
      <c r="Q5" s="1">
        <v>2</v>
      </c>
      <c r="R5" s="1">
        <v>0</v>
      </c>
      <c r="S5" s="1">
        <v>2</v>
      </c>
      <c r="T5" s="1">
        <v>0</v>
      </c>
      <c r="U5" s="1">
        <v>1</v>
      </c>
      <c r="V5" s="1">
        <v>1</v>
      </c>
      <c r="W5" s="1">
        <v>1</v>
      </c>
    </row>
    <row r="6" spans="1:23" hidden="1" x14ac:dyDescent="0.35">
      <c r="A6" s="1" t="s">
        <v>28</v>
      </c>
      <c r="B6" s="1">
        <v>1</v>
      </c>
      <c r="C6" s="1" t="s">
        <v>21</v>
      </c>
      <c r="D6" s="1" t="s">
        <v>23</v>
      </c>
      <c r="E6" s="1">
        <v>10</v>
      </c>
      <c r="F6" s="1">
        <v>0.2</v>
      </c>
      <c r="G6" s="1">
        <v>1</v>
      </c>
      <c r="H6" s="1">
        <v>1</v>
      </c>
      <c r="I6" s="1">
        <v>8</v>
      </c>
      <c r="J6" s="1">
        <v>0</v>
      </c>
      <c r="K6" s="1">
        <v>0</v>
      </c>
      <c r="L6" s="1">
        <v>48</v>
      </c>
      <c r="M6" s="1">
        <v>8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2</v>
      </c>
      <c r="T6" s="1">
        <v>2</v>
      </c>
      <c r="U6" s="1">
        <v>0</v>
      </c>
      <c r="V6" s="1">
        <v>0</v>
      </c>
      <c r="W6" s="1">
        <v>0</v>
      </c>
    </row>
    <row r="7" spans="1:23" x14ac:dyDescent="0.35">
      <c r="A7" s="1" t="s">
        <v>28</v>
      </c>
      <c r="B7" s="1">
        <v>2</v>
      </c>
      <c r="C7" s="1" t="s">
        <v>21</v>
      </c>
      <c r="D7" s="1" t="s">
        <v>24</v>
      </c>
      <c r="E7" s="1">
        <v>10</v>
      </c>
      <c r="F7" s="1">
        <v>0.2</v>
      </c>
      <c r="G7" s="1">
        <v>1</v>
      </c>
      <c r="H7" s="1">
        <v>1</v>
      </c>
      <c r="I7" s="1">
        <v>8</v>
      </c>
      <c r="J7" s="1">
        <v>0</v>
      </c>
      <c r="K7" s="1">
        <v>0</v>
      </c>
      <c r="L7" s="1">
        <v>48</v>
      </c>
      <c r="M7" s="1">
        <v>8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2</v>
      </c>
      <c r="T7" s="1">
        <v>2</v>
      </c>
      <c r="U7" s="1">
        <v>0</v>
      </c>
      <c r="V7" s="1">
        <v>0</v>
      </c>
      <c r="W7" s="1">
        <v>0</v>
      </c>
    </row>
    <row r="8" spans="1:23" hidden="1" x14ac:dyDescent="0.35">
      <c r="A8" s="1" t="s">
        <v>29</v>
      </c>
      <c r="B8" s="1">
        <v>0</v>
      </c>
      <c r="C8" s="1" t="s">
        <v>21</v>
      </c>
      <c r="D8" s="1" t="s">
        <v>22</v>
      </c>
      <c r="E8" s="1">
        <v>10</v>
      </c>
      <c r="F8" s="1">
        <v>0.2</v>
      </c>
      <c r="G8" s="1">
        <v>1</v>
      </c>
      <c r="H8" s="1">
        <v>2</v>
      </c>
      <c r="I8" s="1">
        <v>7</v>
      </c>
      <c r="J8" s="1">
        <v>1</v>
      </c>
      <c r="K8" s="1">
        <v>1</v>
      </c>
      <c r="L8" s="1">
        <v>47</v>
      </c>
      <c r="M8" s="1">
        <v>7</v>
      </c>
      <c r="N8" s="1">
        <v>0.5</v>
      </c>
      <c r="O8" s="1">
        <v>0.125</v>
      </c>
      <c r="P8" s="1">
        <v>0.2</v>
      </c>
      <c r="Q8" s="1">
        <v>1</v>
      </c>
      <c r="R8" s="1">
        <v>1</v>
      </c>
      <c r="S8" s="1">
        <v>1</v>
      </c>
      <c r="T8" s="1">
        <v>1</v>
      </c>
      <c r="U8" s="1">
        <v>0.5</v>
      </c>
      <c r="V8" s="1">
        <v>0.5</v>
      </c>
      <c r="W8" s="1">
        <v>0.5</v>
      </c>
    </row>
    <row r="9" spans="1:23" hidden="1" x14ac:dyDescent="0.35">
      <c r="A9" s="1" t="s">
        <v>29</v>
      </c>
      <c r="B9">
        <v>1</v>
      </c>
      <c r="C9" s="1" t="s">
        <v>21</v>
      </c>
      <c r="D9" s="1" t="s">
        <v>23</v>
      </c>
      <c r="E9">
        <v>10</v>
      </c>
      <c r="F9">
        <v>0.2</v>
      </c>
      <c r="G9">
        <v>1</v>
      </c>
      <c r="H9">
        <v>2</v>
      </c>
      <c r="I9">
        <v>8</v>
      </c>
      <c r="J9">
        <v>0</v>
      </c>
      <c r="K9">
        <v>0</v>
      </c>
      <c r="L9">
        <v>48</v>
      </c>
      <c r="M9">
        <v>8</v>
      </c>
      <c r="N9">
        <v>0</v>
      </c>
      <c r="O9">
        <v>0</v>
      </c>
      <c r="P9">
        <v>0</v>
      </c>
      <c r="Q9">
        <v>0</v>
      </c>
      <c r="R9">
        <v>0</v>
      </c>
      <c r="S9">
        <v>2</v>
      </c>
      <c r="T9">
        <v>2</v>
      </c>
      <c r="U9">
        <v>0</v>
      </c>
      <c r="V9">
        <v>0</v>
      </c>
      <c r="W9">
        <v>0</v>
      </c>
    </row>
    <row r="10" spans="1:23" x14ac:dyDescent="0.35">
      <c r="A10" s="1" t="s">
        <v>29</v>
      </c>
      <c r="B10">
        <v>2</v>
      </c>
      <c r="C10" s="1" t="s">
        <v>21</v>
      </c>
      <c r="D10" s="1" t="s">
        <v>24</v>
      </c>
      <c r="E10">
        <v>10</v>
      </c>
      <c r="F10">
        <v>0.2</v>
      </c>
      <c r="G10">
        <v>1</v>
      </c>
      <c r="H10">
        <v>2</v>
      </c>
      <c r="I10">
        <v>8</v>
      </c>
      <c r="J10">
        <v>0</v>
      </c>
      <c r="K10">
        <v>0</v>
      </c>
      <c r="L10">
        <v>48</v>
      </c>
      <c r="M10">
        <v>8</v>
      </c>
      <c r="N10">
        <v>0</v>
      </c>
      <c r="O10">
        <v>0</v>
      </c>
      <c r="P10">
        <v>0</v>
      </c>
      <c r="Q10">
        <v>0</v>
      </c>
      <c r="R10">
        <v>0</v>
      </c>
      <c r="S10">
        <v>2</v>
      </c>
      <c r="T10">
        <v>2</v>
      </c>
      <c r="U10">
        <v>0</v>
      </c>
      <c r="V10">
        <v>0</v>
      </c>
      <c r="W10">
        <v>0</v>
      </c>
    </row>
    <row r="11" spans="1:23" hidden="1" x14ac:dyDescent="0.35">
      <c r="A11" s="1" t="s">
        <v>30</v>
      </c>
      <c r="B11">
        <v>0</v>
      </c>
      <c r="C11" s="1" t="s">
        <v>21</v>
      </c>
      <c r="D11" s="1" t="s">
        <v>22</v>
      </c>
      <c r="E11">
        <v>10</v>
      </c>
      <c r="F11">
        <v>0.2</v>
      </c>
      <c r="G11">
        <v>1</v>
      </c>
      <c r="H11">
        <v>3</v>
      </c>
      <c r="I11">
        <v>7</v>
      </c>
      <c r="J11">
        <v>1</v>
      </c>
      <c r="K11">
        <v>0</v>
      </c>
      <c r="L11">
        <v>48</v>
      </c>
      <c r="M11">
        <v>7</v>
      </c>
      <c r="N11">
        <v>1</v>
      </c>
      <c r="O11">
        <v>0.125</v>
      </c>
      <c r="P11">
        <v>0.22222222222222221</v>
      </c>
      <c r="Q11">
        <v>1</v>
      </c>
      <c r="R11">
        <v>0</v>
      </c>
      <c r="S11">
        <v>2</v>
      </c>
      <c r="T11">
        <v>1</v>
      </c>
      <c r="U11">
        <v>1</v>
      </c>
      <c r="V11">
        <v>0.5</v>
      </c>
      <c r="W11">
        <v>0.66666666666666663</v>
      </c>
    </row>
    <row r="12" spans="1:23" hidden="1" x14ac:dyDescent="0.35">
      <c r="A12" s="1" t="s">
        <v>30</v>
      </c>
      <c r="B12">
        <v>1</v>
      </c>
      <c r="C12" s="1" t="s">
        <v>21</v>
      </c>
      <c r="D12" s="1" t="s">
        <v>23</v>
      </c>
      <c r="E12">
        <v>10</v>
      </c>
      <c r="F12">
        <v>0.2</v>
      </c>
      <c r="G12">
        <v>1</v>
      </c>
      <c r="H12">
        <v>3</v>
      </c>
      <c r="I12">
        <v>8</v>
      </c>
      <c r="J12">
        <v>0</v>
      </c>
      <c r="K12">
        <v>0</v>
      </c>
      <c r="L12">
        <v>48</v>
      </c>
      <c r="M12">
        <v>8</v>
      </c>
      <c r="N12">
        <v>0</v>
      </c>
      <c r="O12">
        <v>0</v>
      </c>
      <c r="P12">
        <v>0</v>
      </c>
      <c r="Q12">
        <v>0</v>
      </c>
      <c r="R12">
        <v>0</v>
      </c>
      <c r="S12">
        <v>2</v>
      </c>
      <c r="T12">
        <v>2</v>
      </c>
      <c r="U12">
        <v>0</v>
      </c>
      <c r="V12">
        <v>0</v>
      </c>
      <c r="W12">
        <v>0</v>
      </c>
    </row>
    <row r="13" spans="1:23" x14ac:dyDescent="0.35">
      <c r="A13" s="1" t="s">
        <v>30</v>
      </c>
      <c r="B13">
        <v>2</v>
      </c>
      <c r="C13" s="1" t="s">
        <v>21</v>
      </c>
      <c r="D13" s="1" t="s">
        <v>24</v>
      </c>
      <c r="E13">
        <v>10</v>
      </c>
      <c r="F13">
        <v>0.2</v>
      </c>
      <c r="G13">
        <v>1</v>
      </c>
      <c r="H13">
        <v>3</v>
      </c>
      <c r="I13">
        <v>8</v>
      </c>
      <c r="J13">
        <v>0</v>
      </c>
      <c r="K13">
        <v>0</v>
      </c>
      <c r="L13">
        <v>48</v>
      </c>
      <c r="M13">
        <v>8</v>
      </c>
      <c r="N13">
        <v>0</v>
      </c>
      <c r="O13">
        <v>0</v>
      </c>
      <c r="P13">
        <v>0</v>
      </c>
      <c r="Q13">
        <v>0</v>
      </c>
      <c r="R13">
        <v>0</v>
      </c>
      <c r="S13">
        <v>2</v>
      </c>
      <c r="T13">
        <v>2</v>
      </c>
      <c r="U13">
        <v>0</v>
      </c>
      <c r="V13">
        <v>0</v>
      </c>
      <c r="W13">
        <v>0</v>
      </c>
    </row>
    <row r="14" spans="1:23" hidden="1" x14ac:dyDescent="0.35">
      <c r="A14" s="1" t="s">
        <v>31</v>
      </c>
      <c r="B14">
        <v>0</v>
      </c>
      <c r="C14" s="1" t="s">
        <v>21</v>
      </c>
      <c r="D14" s="1" t="s">
        <v>22</v>
      </c>
      <c r="E14">
        <v>10</v>
      </c>
      <c r="F14">
        <v>0.2</v>
      </c>
      <c r="G14">
        <v>1</v>
      </c>
      <c r="H14">
        <v>4</v>
      </c>
      <c r="I14">
        <v>6</v>
      </c>
      <c r="J14">
        <v>2</v>
      </c>
      <c r="K14">
        <v>0</v>
      </c>
      <c r="L14">
        <v>48</v>
      </c>
      <c r="M14">
        <v>6</v>
      </c>
      <c r="N14">
        <v>1</v>
      </c>
      <c r="O14">
        <v>0.25</v>
      </c>
      <c r="P14">
        <v>0.4</v>
      </c>
      <c r="Q14">
        <v>2</v>
      </c>
      <c r="R14">
        <v>0</v>
      </c>
      <c r="S14">
        <v>2</v>
      </c>
      <c r="T14">
        <v>0</v>
      </c>
      <c r="U14">
        <v>1</v>
      </c>
      <c r="V14">
        <v>1</v>
      </c>
      <c r="W14">
        <v>1</v>
      </c>
    </row>
    <row r="15" spans="1:23" hidden="1" x14ac:dyDescent="0.35">
      <c r="A15" s="1" t="s">
        <v>31</v>
      </c>
      <c r="B15">
        <v>1</v>
      </c>
      <c r="C15" s="1" t="s">
        <v>21</v>
      </c>
      <c r="D15" s="1" t="s">
        <v>23</v>
      </c>
      <c r="E15">
        <v>10</v>
      </c>
      <c r="F15">
        <v>0.2</v>
      </c>
      <c r="G15">
        <v>1</v>
      </c>
      <c r="H15">
        <v>4</v>
      </c>
      <c r="I15">
        <v>8</v>
      </c>
      <c r="J15">
        <v>0</v>
      </c>
      <c r="K15">
        <v>0</v>
      </c>
      <c r="L15">
        <v>48</v>
      </c>
      <c r="M15">
        <v>8</v>
      </c>
      <c r="N15">
        <v>0</v>
      </c>
      <c r="O15">
        <v>0</v>
      </c>
      <c r="P15">
        <v>0</v>
      </c>
      <c r="Q15">
        <v>0</v>
      </c>
      <c r="R15">
        <v>0</v>
      </c>
      <c r="S15">
        <v>2</v>
      </c>
      <c r="T15">
        <v>2</v>
      </c>
      <c r="U15">
        <v>0</v>
      </c>
      <c r="V15">
        <v>0</v>
      </c>
      <c r="W15">
        <v>0</v>
      </c>
    </row>
    <row r="16" spans="1:23" x14ac:dyDescent="0.35">
      <c r="A16" s="1" t="s">
        <v>31</v>
      </c>
      <c r="B16">
        <v>2</v>
      </c>
      <c r="C16" s="1" t="s">
        <v>21</v>
      </c>
      <c r="D16" s="1" t="s">
        <v>24</v>
      </c>
      <c r="E16">
        <v>10</v>
      </c>
      <c r="F16">
        <v>0.2</v>
      </c>
      <c r="G16">
        <v>1</v>
      </c>
      <c r="H16">
        <v>4</v>
      </c>
      <c r="I16">
        <v>8</v>
      </c>
      <c r="J16">
        <v>0</v>
      </c>
      <c r="K16">
        <v>0</v>
      </c>
      <c r="L16">
        <v>48</v>
      </c>
      <c r="M16">
        <v>8</v>
      </c>
      <c r="N16">
        <v>0</v>
      </c>
      <c r="O16">
        <v>0</v>
      </c>
      <c r="P16">
        <v>0</v>
      </c>
      <c r="Q16">
        <v>0</v>
      </c>
      <c r="R16">
        <v>0</v>
      </c>
      <c r="S16">
        <v>2</v>
      </c>
      <c r="T16">
        <v>2</v>
      </c>
      <c r="U16">
        <v>0</v>
      </c>
      <c r="V16">
        <v>0</v>
      </c>
      <c r="W16">
        <v>0</v>
      </c>
    </row>
    <row r="17" spans="1:23" hidden="1" x14ac:dyDescent="0.35">
      <c r="A17" s="1" t="s">
        <v>32</v>
      </c>
      <c r="B17">
        <v>0</v>
      </c>
      <c r="C17" s="1" t="s">
        <v>21</v>
      </c>
      <c r="D17" s="1" t="s">
        <v>22</v>
      </c>
      <c r="E17">
        <v>10</v>
      </c>
      <c r="F17">
        <v>0.2</v>
      </c>
      <c r="G17">
        <v>1</v>
      </c>
      <c r="H17">
        <v>5</v>
      </c>
      <c r="I17">
        <v>5</v>
      </c>
      <c r="J17">
        <v>3</v>
      </c>
      <c r="K17">
        <v>0</v>
      </c>
      <c r="L17">
        <v>48</v>
      </c>
      <c r="M17">
        <v>5</v>
      </c>
      <c r="N17">
        <v>1</v>
      </c>
      <c r="O17">
        <v>0.375</v>
      </c>
      <c r="P17">
        <v>0.54545454545454541</v>
      </c>
      <c r="Q17">
        <v>2</v>
      </c>
      <c r="R17">
        <v>0</v>
      </c>
      <c r="S17">
        <v>2</v>
      </c>
      <c r="T17">
        <v>0</v>
      </c>
      <c r="U17">
        <v>1</v>
      </c>
      <c r="V17">
        <v>1</v>
      </c>
      <c r="W17">
        <v>1</v>
      </c>
    </row>
    <row r="18" spans="1:23" hidden="1" x14ac:dyDescent="0.35">
      <c r="A18" s="1" t="s">
        <v>32</v>
      </c>
      <c r="B18">
        <v>1</v>
      </c>
      <c r="C18" s="1" t="s">
        <v>21</v>
      </c>
      <c r="D18" s="1" t="s">
        <v>23</v>
      </c>
      <c r="E18">
        <v>10</v>
      </c>
      <c r="F18">
        <v>0.2</v>
      </c>
      <c r="G18">
        <v>1</v>
      </c>
      <c r="H18">
        <v>5</v>
      </c>
      <c r="I18">
        <v>7</v>
      </c>
      <c r="J18">
        <v>1</v>
      </c>
      <c r="K18">
        <v>1</v>
      </c>
      <c r="L18">
        <v>47</v>
      </c>
      <c r="M18">
        <v>7</v>
      </c>
      <c r="N18">
        <v>0.5</v>
      </c>
      <c r="O18">
        <v>0.125</v>
      </c>
      <c r="P18">
        <v>0.2</v>
      </c>
      <c r="Q18">
        <v>1</v>
      </c>
      <c r="R18">
        <v>0</v>
      </c>
      <c r="S18">
        <v>2</v>
      </c>
      <c r="T18">
        <v>1</v>
      </c>
      <c r="U18">
        <v>1</v>
      </c>
      <c r="V18">
        <v>0.5</v>
      </c>
      <c r="W18">
        <v>0.66666666666666663</v>
      </c>
    </row>
    <row r="19" spans="1:23" x14ac:dyDescent="0.35">
      <c r="A19" s="1" t="s">
        <v>32</v>
      </c>
      <c r="B19">
        <v>2</v>
      </c>
      <c r="C19" s="1" t="s">
        <v>21</v>
      </c>
      <c r="D19" s="1" t="s">
        <v>24</v>
      </c>
      <c r="E19">
        <v>10</v>
      </c>
      <c r="F19">
        <v>0.2</v>
      </c>
      <c r="G19">
        <v>1</v>
      </c>
      <c r="H19">
        <v>5</v>
      </c>
      <c r="I19">
        <v>7</v>
      </c>
      <c r="J19">
        <v>1</v>
      </c>
      <c r="K19">
        <v>1</v>
      </c>
      <c r="L19">
        <v>47</v>
      </c>
      <c r="M19">
        <v>7</v>
      </c>
      <c r="N19">
        <v>0.5</v>
      </c>
      <c r="O19">
        <v>0.125</v>
      </c>
      <c r="P19">
        <v>0.2</v>
      </c>
      <c r="Q19">
        <v>1</v>
      </c>
      <c r="R19">
        <v>0</v>
      </c>
      <c r="S19">
        <v>2</v>
      </c>
      <c r="T19">
        <v>1</v>
      </c>
      <c r="U19">
        <v>1</v>
      </c>
      <c r="V19">
        <v>0.5</v>
      </c>
      <c r="W19">
        <v>0.66666666666666663</v>
      </c>
    </row>
    <row r="20" spans="1:23" hidden="1" x14ac:dyDescent="0.35">
      <c r="A20" s="1" t="s">
        <v>33</v>
      </c>
      <c r="B20">
        <v>0</v>
      </c>
      <c r="C20" s="1" t="s">
        <v>21</v>
      </c>
      <c r="D20" s="1" t="s">
        <v>22</v>
      </c>
      <c r="E20">
        <v>10</v>
      </c>
      <c r="F20">
        <v>0.2</v>
      </c>
      <c r="G20">
        <v>1</v>
      </c>
      <c r="H20">
        <v>6</v>
      </c>
      <c r="I20">
        <v>9</v>
      </c>
      <c r="J20">
        <v>0</v>
      </c>
      <c r="K20">
        <v>2</v>
      </c>
      <c r="L20">
        <v>46</v>
      </c>
      <c r="M20">
        <v>8</v>
      </c>
      <c r="N20">
        <v>0</v>
      </c>
      <c r="O20">
        <v>0</v>
      </c>
      <c r="P20">
        <v>0</v>
      </c>
      <c r="Q20">
        <v>0</v>
      </c>
      <c r="R20">
        <v>1</v>
      </c>
      <c r="S20">
        <v>1</v>
      </c>
      <c r="T20">
        <v>2</v>
      </c>
      <c r="U20">
        <v>0</v>
      </c>
      <c r="V20">
        <v>0</v>
      </c>
      <c r="W20">
        <v>0</v>
      </c>
    </row>
    <row r="21" spans="1:23" hidden="1" x14ac:dyDescent="0.35">
      <c r="A21" s="1" t="s">
        <v>33</v>
      </c>
      <c r="B21">
        <v>1</v>
      </c>
      <c r="C21" s="1" t="s">
        <v>21</v>
      </c>
      <c r="D21" s="1" t="s">
        <v>23</v>
      </c>
      <c r="E21">
        <v>10</v>
      </c>
      <c r="F21">
        <v>0.2</v>
      </c>
      <c r="G21">
        <v>1</v>
      </c>
      <c r="H21">
        <v>6</v>
      </c>
      <c r="I21">
        <v>8</v>
      </c>
      <c r="J21">
        <v>0</v>
      </c>
      <c r="K21">
        <v>1</v>
      </c>
      <c r="L21">
        <v>47</v>
      </c>
      <c r="M21">
        <v>8</v>
      </c>
      <c r="N21">
        <v>0</v>
      </c>
      <c r="O21">
        <v>0</v>
      </c>
      <c r="P21">
        <v>0</v>
      </c>
      <c r="Q21">
        <v>0</v>
      </c>
      <c r="R21">
        <v>0</v>
      </c>
      <c r="S21">
        <v>2</v>
      </c>
      <c r="T21">
        <v>2</v>
      </c>
      <c r="U21">
        <v>0</v>
      </c>
      <c r="V21">
        <v>0</v>
      </c>
      <c r="W21">
        <v>0</v>
      </c>
    </row>
    <row r="22" spans="1:23" x14ac:dyDescent="0.35">
      <c r="A22" s="1" t="s">
        <v>33</v>
      </c>
      <c r="B22">
        <v>2</v>
      </c>
      <c r="C22" s="1" t="s">
        <v>21</v>
      </c>
      <c r="D22" s="1" t="s">
        <v>24</v>
      </c>
      <c r="E22">
        <v>10</v>
      </c>
      <c r="F22">
        <v>0.2</v>
      </c>
      <c r="G22">
        <v>1</v>
      </c>
      <c r="H22">
        <v>6</v>
      </c>
      <c r="I22">
        <v>8</v>
      </c>
      <c r="J22">
        <v>0</v>
      </c>
      <c r="K22">
        <v>1</v>
      </c>
      <c r="L22">
        <v>47</v>
      </c>
      <c r="M22">
        <v>8</v>
      </c>
      <c r="N22">
        <v>0</v>
      </c>
      <c r="O22">
        <v>0</v>
      </c>
      <c r="P22">
        <v>0</v>
      </c>
      <c r="Q22">
        <v>0</v>
      </c>
      <c r="R22">
        <v>0</v>
      </c>
      <c r="S22">
        <v>2</v>
      </c>
      <c r="T22">
        <v>2</v>
      </c>
      <c r="U22">
        <v>0</v>
      </c>
      <c r="V22">
        <v>0</v>
      </c>
      <c r="W22">
        <v>0</v>
      </c>
    </row>
    <row r="23" spans="1:23" hidden="1" x14ac:dyDescent="0.35">
      <c r="A23" s="1" t="s">
        <v>34</v>
      </c>
      <c r="B23">
        <v>0</v>
      </c>
      <c r="C23" s="1" t="s">
        <v>21</v>
      </c>
      <c r="D23" s="1" t="s">
        <v>22</v>
      </c>
      <c r="E23">
        <v>10</v>
      </c>
      <c r="F23">
        <v>0.2</v>
      </c>
      <c r="G23">
        <v>1</v>
      </c>
      <c r="H23">
        <v>7</v>
      </c>
      <c r="I23">
        <v>8</v>
      </c>
      <c r="J23">
        <v>0</v>
      </c>
      <c r="K23">
        <v>1</v>
      </c>
      <c r="L23">
        <v>47</v>
      </c>
      <c r="M23">
        <v>8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2</v>
      </c>
      <c r="U23">
        <v>0</v>
      </c>
      <c r="V23">
        <v>0</v>
      </c>
      <c r="W23">
        <v>0</v>
      </c>
    </row>
    <row r="24" spans="1:23" hidden="1" x14ac:dyDescent="0.35">
      <c r="A24" s="1" t="s">
        <v>34</v>
      </c>
      <c r="B24">
        <v>1</v>
      </c>
      <c r="C24" s="1" t="s">
        <v>21</v>
      </c>
      <c r="D24" s="1" t="s">
        <v>23</v>
      </c>
      <c r="E24">
        <v>10</v>
      </c>
      <c r="F24">
        <v>0.2</v>
      </c>
      <c r="G24">
        <v>1</v>
      </c>
      <c r="H24">
        <v>7</v>
      </c>
      <c r="I24">
        <v>8</v>
      </c>
      <c r="J24">
        <v>0</v>
      </c>
      <c r="K24">
        <v>0</v>
      </c>
      <c r="L24">
        <v>48</v>
      </c>
      <c r="M24">
        <v>8</v>
      </c>
      <c r="N24">
        <v>0</v>
      </c>
      <c r="O24">
        <v>0</v>
      </c>
      <c r="P24">
        <v>0</v>
      </c>
      <c r="Q24">
        <v>0</v>
      </c>
      <c r="R24">
        <v>0</v>
      </c>
      <c r="S24">
        <v>2</v>
      </c>
      <c r="T24">
        <v>2</v>
      </c>
      <c r="U24">
        <v>0</v>
      </c>
      <c r="V24">
        <v>0</v>
      </c>
      <c r="W24">
        <v>0</v>
      </c>
    </row>
    <row r="25" spans="1:23" x14ac:dyDescent="0.35">
      <c r="A25" s="1" t="s">
        <v>34</v>
      </c>
      <c r="B25">
        <v>2</v>
      </c>
      <c r="C25" s="1" t="s">
        <v>21</v>
      </c>
      <c r="D25" s="1" t="s">
        <v>24</v>
      </c>
      <c r="E25">
        <v>10</v>
      </c>
      <c r="F25">
        <v>0.2</v>
      </c>
      <c r="G25">
        <v>1</v>
      </c>
      <c r="H25">
        <v>7</v>
      </c>
      <c r="I25">
        <v>8</v>
      </c>
      <c r="J25">
        <v>0</v>
      </c>
      <c r="K25">
        <v>0</v>
      </c>
      <c r="L25">
        <v>48</v>
      </c>
      <c r="M25">
        <v>8</v>
      </c>
      <c r="N25">
        <v>0</v>
      </c>
      <c r="O25">
        <v>0</v>
      </c>
      <c r="P25">
        <v>0</v>
      </c>
      <c r="Q25">
        <v>0</v>
      </c>
      <c r="R25">
        <v>0</v>
      </c>
      <c r="S25">
        <v>2</v>
      </c>
      <c r="T25">
        <v>2</v>
      </c>
      <c r="U25">
        <v>0</v>
      </c>
      <c r="V25">
        <v>0</v>
      </c>
      <c r="W25">
        <v>0</v>
      </c>
    </row>
    <row r="26" spans="1:23" hidden="1" x14ac:dyDescent="0.35">
      <c r="A26" s="1" t="s">
        <v>35</v>
      </c>
      <c r="B26">
        <v>0</v>
      </c>
      <c r="C26" s="1" t="s">
        <v>21</v>
      </c>
      <c r="D26" s="1" t="s">
        <v>22</v>
      </c>
      <c r="E26">
        <v>10</v>
      </c>
      <c r="F26">
        <v>0.2</v>
      </c>
      <c r="G26">
        <v>1</v>
      </c>
      <c r="H26">
        <v>8</v>
      </c>
      <c r="I26">
        <v>7</v>
      </c>
      <c r="J26">
        <v>1</v>
      </c>
      <c r="K26">
        <v>1</v>
      </c>
      <c r="L26">
        <v>47</v>
      </c>
      <c r="M26">
        <v>7</v>
      </c>
      <c r="N26">
        <v>0.5</v>
      </c>
      <c r="O26">
        <v>0.125</v>
      </c>
      <c r="P26">
        <v>0.2</v>
      </c>
      <c r="Q26">
        <v>1</v>
      </c>
      <c r="R26">
        <v>0</v>
      </c>
      <c r="S26">
        <v>2</v>
      </c>
      <c r="T26">
        <v>1</v>
      </c>
      <c r="U26">
        <v>1</v>
      </c>
      <c r="V26">
        <v>0.5</v>
      </c>
      <c r="W26">
        <v>0.66666666666666663</v>
      </c>
    </row>
    <row r="27" spans="1:23" hidden="1" x14ac:dyDescent="0.35">
      <c r="A27" s="1" t="s">
        <v>35</v>
      </c>
      <c r="B27">
        <v>1</v>
      </c>
      <c r="C27" s="1" t="s">
        <v>21</v>
      </c>
      <c r="D27" s="1" t="s">
        <v>23</v>
      </c>
      <c r="E27">
        <v>10</v>
      </c>
      <c r="F27">
        <v>0.2</v>
      </c>
      <c r="G27">
        <v>1</v>
      </c>
      <c r="H27">
        <v>8</v>
      </c>
      <c r="I27">
        <v>7</v>
      </c>
      <c r="J27">
        <v>1</v>
      </c>
      <c r="K27">
        <v>1</v>
      </c>
      <c r="L27">
        <v>47</v>
      </c>
      <c r="M27">
        <v>7</v>
      </c>
      <c r="N27">
        <v>0.5</v>
      </c>
      <c r="O27">
        <v>0.125</v>
      </c>
      <c r="P27">
        <v>0.2</v>
      </c>
      <c r="Q27">
        <v>1</v>
      </c>
      <c r="R27">
        <v>0</v>
      </c>
      <c r="S27">
        <v>2</v>
      </c>
      <c r="T27">
        <v>1</v>
      </c>
      <c r="U27">
        <v>1</v>
      </c>
      <c r="V27">
        <v>0.5</v>
      </c>
      <c r="W27">
        <v>0.66666666666666663</v>
      </c>
    </row>
    <row r="28" spans="1:23" x14ac:dyDescent="0.35">
      <c r="A28" s="1" t="s">
        <v>35</v>
      </c>
      <c r="B28">
        <v>2</v>
      </c>
      <c r="C28" s="1" t="s">
        <v>21</v>
      </c>
      <c r="D28" s="1" t="s">
        <v>24</v>
      </c>
      <c r="E28">
        <v>10</v>
      </c>
      <c r="F28">
        <v>0.2</v>
      </c>
      <c r="G28">
        <v>1</v>
      </c>
      <c r="H28">
        <v>8</v>
      </c>
      <c r="I28">
        <v>7</v>
      </c>
      <c r="J28">
        <v>1</v>
      </c>
      <c r="K28">
        <v>1</v>
      </c>
      <c r="L28">
        <v>47</v>
      </c>
      <c r="M28">
        <v>7</v>
      </c>
      <c r="N28">
        <v>0.5</v>
      </c>
      <c r="O28">
        <v>0.125</v>
      </c>
      <c r="P28">
        <v>0.2</v>
      </c>
      <c r="Q28">
        <v>1</v>
      </c>
      <c r="R28">
        <v>0</v>
      </c>
      <c r="S28">
        <v>2</v>
      </c>
      <c r="T28">
        <v>1</v>
      </c>
      <c r="U28">
        <v>1</v>
      </c>
      <c r="V28">
        <v>0.5</v>
      </c>
      <c r="W28">
        <v>0.66666666666666663</v>
      </c>
    </row>
    <row r="29" spans="1:23" hidden="1" x14ac:dyDescent="0.35">
      <c r="A29" s="1" t="s">
        <v>36</v>
      </c>
      <c r="B29">
        <v>0</v>
      </c>
      <c r="C29" s="1" t="s">
        <v>21</v>
      </c>
      <c r="D29" s="1" t="s">
        <v>22</v>
      </c>
      <c r="E29">
        <v>10</v>
      </c>
      <c r="F29">
        <v>0.2</v>
      </c>
      <c r="G29">
        <v>1</v>
      </c>
      <c r="H29">
        <v>9</v>
      </c>
      <c r="I29">
        <v>7</v>
      </c>
      <c r="J29">
        <v>1</v>
      </c>
      <c r="K29">
        <v>0</v>
      </c>
      <c r="L29">
        <v>48</v>
      </c>
      <c r="M29">
        <v>7</v>
      </c>
      <c r="N29">
        <v>1</v>
      </c>
      <c r="O29">
        <v>0.125</v>
      </c>
      <c r="P29">
        <v>0.22222222222222221</v>
      </c>
      <c r="Q29">
        <v>1</v>
      </c>
      <c r="R29">
        <v>0</v>
      </c>
      <c r="S29">
        <v>2</v>
      </c>
      <c r="T29">
        <v>1</v>
      </c>
      <c r="U29">
        <v>1</v>
      </c>
      <c r="V29">
        <v>0.5</v>
      </c>
      <c r="W29">
        <v>0.66666666666666663</v>
      </c>
    </row>
    <row r="30" spans="1:23" hidden="1" x14ac:dyDescent="0.35">
      <c r="A30" s="1" t="s">
        <v>36</v>
      </c>
      <c r="B30">
        <v>1</v>
      </c>
      <c r="C30" s="1" t="s">
        <v>21</v>
      </c>
      <c r="D30" s="1" t="s">
        <v>23</v>
      </c>
      <c r="E30">
        <v>10</v>
      </c>
      <c r="F30">
        <v>0.2</v>
      </c>
      <c r="G30">
        <v>1</v>
      </c>
      <c r="H30">
        <v>9</v>
      </c>
      <c r="I30">
        <v>8</v>
      </c>
      <c r="J30">
        <v>0</v>
      </c>
      <c r="K30">
        <v>0</v>
      </c>
      <c r="L30">
        <v>48</v>
      </c>
      <c r="M30">
        <v>8</v>
      </c>
      <c r="N30">
        <v>0</v>
      </c>
      <c r="O30">
        <v>0</v>
      </c>
      <c r="P30">
        <v>0</v>
      </c>
      <c r="Q30">
        <v>0</v>
      </c>
      <c r="R30">
        <v>0</v>
      </c>
      <c r="S30">
        <v>2</v>
      </c>
      <c r="T30">
        <v>2</v>
      </c>
      <c r="U30">
        <v>0</v>
      </c>
      <c r="V30">
        <v>0</v>
      </c>
      <c r="W30">
        <v>0</v>
      </c>
    </row>
    <row r="31" spans="1:23" x14ac:dyDescent="0.35">
      <c r="A31" s="1" t="s">
        <v>36</v>
      </c>
      <c r="B31">
        <v>2</v>
      </c>
      <c r="C31" s="1" t="s">
        <v>21</v>
      </c>
      <c r="D31" s="1" t="s">
        <v>24</v>
      </c>
      <c r="E31">
        <v>10</v>
      </c>
      <c r="F31">
        <v>0.2</v>
      </c>
      <c r="G31">
        <v>1</v>
      </c>
      <c r="H31">
        <v>9</v>
      </c>
      <c r="I31">
        <v>8</v>
      </c>
      <c r="J31">
        <v>0</v>
      </c>
      <c r="K31">
        <v>0</v>
      </c>
      <c r="L31">
        <v>48</v>
      </c>
      <c r="M31">
        <v>8</v>
      </c>
      <c r="N31">
        <v>0</v>
      </c>
      <c r="O31">
        <v>0</v>
      </c>
      <c r="P31">
        <v>0</v>
      </c>
      <c r="Q31">
        <v>0</v>
      </c>
      <c r="R31">
        <v>0</v>
      </c>
      <c r="S31">
        <v>2</v>
      </c>
      <c r="T31">
        <v>2</v>
      </c>
      <c r="U31">
        <v>0</v>
      </c>
      <c r="V31">
        <v>0</v>
      </c>
      <c r="W31">
        <v>0</v>
      </c>
    </row>
    <row r="32" spans="1:23" x14ac:dyDescent="0.35">
      <c r="A32" s="1"/>
      <c r="C32" s="1"/>
      <c r="D32" s="1"/>
      <c r="N32">
        <f>SUBTOTAL(101,sum[Prec])</f>
        <v>0.1</v>
      </c>
      <c r="O32">
        <f>SUBTOTAL(101,sum[Rec])</f>
        <v>2.5000000000000001E-2</v>
      </c>
      <c r="P32">
        <f>SUBTOTAL(101,sum[F1])</f>
        <v>0.04</v>
      </c>
      <c r="U32">
        <f>SUBTOTAL(101,sum[Con_Prec])</f>
        <v>0.2</v>
      </c>
      <c r="V32">
        <f>SUBTOTAL(101,sum[Con_Rec])</f>
        <v>0.1</v>
      </c>
      <c r="W32">
        <f>SUBTOTAL(101,sum[Con_F1])</f>
        <v>0.13333333333333333</v>
      </c>
    </row>
    <row r="1048576" spans="14:14" x14ac:dyDescent="0.35">
      <c r="N1048576">
        <f>AVERAGE(N2:N1048575)</f>
        <v>0.29354838709677417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9BA8BF-7390-4133-8104-EFCCC61EE4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results_ASIA_10_0.2_1_0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Zidong Wang</dc:creator>
  <cp:lastModifiedBy>Zidong Wang</cp:lastModifiedBy>
  <dcterms:created xsi:type="dcterms:W3CDTF">2024-08-01T02:06:21Z</dcterms:created>
  <dcterms:modified xsi:type="dcterms:W3CDTF">2024-08-01T02:06:21Z</dcterms:modified>
</cp:coreProperties>
</file>